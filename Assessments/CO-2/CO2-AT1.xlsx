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Duplicate Detection" sheetId="1" r:id="rId4"/>
    <sheet state="visible" name="Q2 Covariance" sheetId="2" r:id="rId5"/>
    <sheet state="visible" name="Q3 Outlier Z-Score" sheetId="3" r:id="rId6"/>
    <sheet state="visible" name="Q4 Equal-Width Binning" sheetId="4" r:id="rId7"/>
    <sheet state="visible" name="Q5 Standardization" sheetId="5" r:id="rId8"/>
  </sheets>
  <definedNames/>
  <calcPr/>
</workbook>
</file>

<file path=xl/sharedStrings.xml><?xml version="1.0" encoding="utf-8"?>
<sst xmlns="http://schemas.openxmlformats.org/spreadsheetml/2006/main" count="96" uniqueCount="73">
  <si>
    <t>Q1: Data Cleaning using Duplicate Detection (Patient Registration)</t>
  </si>
  <si>
    <t>Step 1: Original Records with Duplicate Flag</t>
  </si>
  <si>
    <t>S.No</t>
  </si>
  <si>
    <t>Patient ID</t>
  </si>
  <si>
    <t>Occurrence Count (in list)</t>
  </si>
  <si>
    <t>Duplicate? (Y/N)</t>
  </si>
  <si>
    <t>P101</t>
  </si>
  <si>
    <t>P102</t>
  </si>
  <si>
    <t>P105</t>
  </si>
  <si>
    <t>P103</t>
  </si>
  <si>
    <t>P107</t>
  </si>
  <si>
    <t>P108</t>
  </si>
  <si>
    <t>P110</t>
  </si>
  <si>
    <t>P112</t>
  </si>
  <si>
    <t>Step 2: Unique Patient List (duplicates removed)</t>
  </si>
  <si>
    <t>Unique Patient ID</t>
  </si>
  <si>
    <t>Step 3: Summary</t>
  </si>
  <si>
    <t>Total Records Extracted:</t>
  </si>
  <si>
    <t>Duplicate ID Values Found:</t>
  </si>
  <si>
    <t>Number of Duplicate (extra) entries removed:</t>
  </si>
  <si>
    <t>Number of Unique Patients:</t>
  </si>
  <si>
    <t>Q2: Covariance Analysis between Treatment Cost and Hospital Stay</t>
  </si>
  <si>
    <t>Treatment Cost x (₹ '000)</t>
  </si>
  <si>
    <t>Hospital Stay y (days)</t>
  </si>
  <si>
    <t>x - mean(x)</t>
  </si>
  <si>
    <t>y - mean(y)</t>
  </si>
  <si>
    <t>(x-mean x) * (y-mean y)</t>
  </si>
  <si>
    <t>Sum -&gt;</t>
  </si>
  <si>
    <t>Mean (x, y) -&gt;</t>
  </si>
  <si>
    <t>Covariance Calculation</t>
  </si>
  <si>
    <t>Population Covariance  Cov(x,y) = Σ[(x-x̄)(y-ȳ)] / n</t>
  </si>
  <si>
    <t>Sample Covariance  Cov(x,y) = Σ[(x-x̄)(y-ȳ)] / (n-1)</t>
  </si>
  <si>
    <t>Interpretation</t>
  </si>
  <si>
    <t>The covariance between treatment cost and hospital stay is positive (Cov ≈ +15, sample basis / +12, population basis). This indicates a positive relationship: as the treatment cost increases, the duration of hospital stay also tends to increase. Patients with higher treatment costs are generally associated with longer hospital stays, which is clinically intuitive since more severe/complex cases require both longer stays and more expensive treatment.</t>
  </si>
  <si>
    <t>Q3: Outlier Detection using Z-Score (Patient Recovery Time)</t>
  </si>
  <si>
    <t>Recovery Time (days)</t>
  </si>
  <si>
    <t>x - mean</t>
  </si>
  <si>
    <t>(x-mean)^2</t>
  </si>
  <si>
    <t>Z-score = (x-mean)/std</t>
  </si>
  <si>
    <t>Sum of squares -&gt;</t>
  </si>
  <si>
    <t>Mean:</t>
  </si>
  <si>
    <t>Standard Deviation (population):</t>
  </si>
  <si>
    <t>Outlier Identification (|z| &gt; 3)</t>
  </si>
  <si>
    <t>Observation</t>
  </si>
  <si>
    <t>Z-score</t>
  </si>
  <si>
    <t>Is Outlier (|z|&gt;3)?</t>
  </si>
  <si>
    <t>Conclusion: Only the value 35 has |z| &gt; 3, so it is identified as the sole outlier in the dataset.</t>
  </si>
  <si>
    <t>Q4: Data Discretization using Equal-Width Binning (Blood Glucose Levels)</t>
  </si>
  <si>
    <t>Bin Width Calculation</t>
  </si>
  <si>
    <t>Minimum value:</t>
  </si>
  <si>
    <t>Maximum value:</t>
  </si>
  <si>
    <t>Range (Max - Min):</t>
  </si>
  <si>
    <t>Number of bins:</t>
  </si>
  <si>
    <t>Bin width (Range / bins):</t>
  </si>
  <si>
    <t>Bin Boundaries</t>
  </si>
  <si>
    <t>Bin</t>
  </si>
  <si>
    <t>Lower Boundary</t>
  </si>
  <si>
    <t>Upper Boundary</t>
  </si>
  <si>
    <t>Bin 1</t>
  </si>
  <si>
    <t>Bin 2</t>
  </si>
  <si>
    <t>Bin 3</t>
  </si>
  <si>
    <t>Transformed Dataset (Smoothing by Bin Boundaries — each value replaced by nearest bin edge)</t>
  </si>
  <si>
    <t>Original Value</t>
  </si>
  <si>
    <t>Assigned Bin</t>
  </si>
  <si>
    <t>Nearest Lower Edge Dist</t>
  </si>
  <si>
    <t>Nearest Upper Edge Dist</t>
  </si>
  <si>
    <t>Transformed Value</t>
  </si>
  <si>
    <t>Q5: Standardization of Insurance Claim Amounts</t>
  </si>
  <si>
    <t>Claim Amount (₹ '000)</t>
  </si>
  <si>
    <t>Claims Above One Standard Deviation from the Mean (z &gt; 1, i.e. value &gt; mean + 1×SD)</t>
  </si>
  <si>
    <t>Upper Threshold (mean + 1 SD):</t>
  </si>
  <si>
    <t>Claim Amount</t>
  </si>
  <si>
    <t>Above 1 SD? (z&gt;1)</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</si>
</sst>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name val="Arial"/>
      <scheme val="minor"/>
    </font>
    <font>
      <b/>
      <sz val="14.0"/>
      <name val="Arial"/>
    </font>
    <font>
      <b/>
      <sz val="11.0"/>
      <name val="Arial"/>
    </font>
    <font>
      <b/>
      <sz val="11.0"/>
      <color rgb="FFFFFFFF"/>
      <name val="Arial"/>
    </font>
    <font>
      <sz val="11.0"/>
      <name val="Arial"/>
    </font>
  </fonts>
  <fills count="5">
    <fill>
      <patternFill patternType="none"/>
    </fill>
    <fill>
      <patternFill patternType="lightGray"/>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s>
  <borders count="2">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0"/>
    </xf>
    <xf borderId="1" fillId="0" fontId="4" numFmtId="0" xfId="0" applyAlignment="1" applyBorder="1" applyFont="1">
      <alignment shrinkToFit="0" vertical="bottom" wrapText="0"/>
    </xf>
    <xf borderId="1" fillId="0" fontId="4" numFmtId="0" xfId="0" applyAlignment="1" applyBorder="1" applyFont="1">
      <alignment horizontal="center" shrinkToFit="0" vertical="bottom" wrapText="0"/>
    </xf>
    <xf borderId="1" fillId="3" fontId="4" numFmtId="0" xfId="0" applyAlignment="1" applyBorder="1" applyFill="1" applyFont="1">
      <alignment horizontal="center" shrinkToFit="0" vertical="bottom" wrapText="0"/>
    </xf>
    <xf borderId="0" fillId="0" fontId="4" numFmtId="0" xfId="0" applyAlignment="1" applyFont="1">
      <alignment shrinkToFit="0" vertical="bottom" wrapText="0"/>
    </xf>
    <xf borderId="0" fillId="0" fontId="4" numFmtId="0" xfId="0" applyAlignment="1" applyFont="1">
      <alignment shrinkToFit="0" vertical="top" wrapText="1"/>
    </xf>
    <xf borderId="1" fillId="4" fontId="4" numFmtId="0" xfId="0" applyAlignment="1" applyBorder="1" applyFill="1" applyFont="1">
      <alignment shrinkToFit="0" vertical="bottom" wrapText="0"/>
    </xf>
    <xf borderId="1"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3" width="26.0"/>
    <col customWidth="1" min="4" max="4" width="18.0"/>
    <col customWidth="1" min="5" max="11" width="8.71"/>
  </cols>
  <sheetData>
    <row r="1">
      <c r="A1" s="1" t="s">
        <v>0</v>
      </c>
    </row>
    <row r="3">
      <c r="A3" s="2" t="s">
        <v>1</v>
      </c>
    </row>
    <row r="4">
      <c r="A4" s="3" t="s">
        <v>2</v>
      </c>
      <c r="B4" s="3" t="s">
        <v>3</v>
      </c>
      <c r="C4" s="3" t="s">
        <v>4</v>
      </c>
      <c r="D4" s="3" t="s">
        <v>5</v>
      </c>
    </row>
    <row r="5">
      <c r="A5" s="4">
        <v>1.0</v>
      </c>
      <c r="B5" s="4" t="s">
        <v>6</v>
      </c>
      <c r="C5" s="4" t="str">
        <f t="shared" ref="C5:C14" si="1">COUNTIF($B$5:$B$14,B5)</f>
        <v>1</v>
      </c>
      <c r="D5" s="5" t="str">
        <f t="shared" ref="D5:D14" si="2">IF(C5&gt;1,"Yes","No")</f>
        <v>No</v>
      </c>
    </row>
    <row r="6">
      <c r="A6" s="4">
        <v>2.0</v>
      </c>
      <c r="B6" s="4" t="s">
        <v>7</v>
      </c>
      <c r="C6" s="4" t="str">
        <f t="shared" si="1"/>
        <v>1</v>
      </c>
      <c r="D6" s="5" t="str">
        <f t="shared" si="2"/>
        <v>No</v>
      </c>
    </row>
    <row r="7">
      <c r="A7" s="4">
        <v>3.0</v>
      </c>
      <c r="B7" s="4" t="s">
        <v>8</v>
      </c>
      <c r="C7" s="4" t="str">
        <f t="shared" si="1"/>
        <v>2</v>
      </c>
      <c r="D7" s="6" t="str">
        <f t="shared" si="2"/>
        <v>Yes</v>
      </c>
    </row>
    <row r="8">
      <c r="A8" s="4">
        <v>4.0</v>
      </c>
      <c r="B8" s="4" t="s">
        <v>9</v>
      </c>
      <c r="C8" s="4" t="str">
        <f t="shared" si="1"/>
        <v>2</v>
      </c>
      <c r="D8" s="6" t="str">
        <f t="shared" si="2"/>
        <v>Yes</v>
      </c>
    </row>
    <row r="9">
      <c r="A9" s="4">
        <v>5.0</v>
      </c>
      <c r="B9" s="4" t="s">
        <v>8</v>
      </c>
      <c r="C9" s="4" t="str">
        <f t="shared" si="1"/>
        <v>2</v>
      </c>
      <c r="D9" s="6" t="str">
        <f t="shared" si="2"/>
        <v>Yes</v>
      </c>
    </row>
    <row r="10">
      <c r="A10" s="4">
        <v>6.0</v>
      </c>
      <c r="B10" s="4" t="s">
        <v>10</v>
      </c>
      <c r="C10" s="4" t="str">
        <f t="shared" si="1"/>
        <v>1</v>
      </c>
      <c r="D10" s="5" t="str">
        <f t="shared" si="2"/>
        <v>No</v>
      </c>
    </row>
    <row r="11">
      <c r="A11" s="4">
        <v>7.0</v>
      </c>
      <c r="B11" s="4" t="s">
        <v>11</v>
      </c>
      <c r="C11" s="4" t="str">
        <f t="shared" si="1"/>
        <v>1</v>
      </c>
      <c r="D11" s="5" t="str">
        <f t="shared" si="2"/>
        <v>No</v>
      </c>
    </row>
    <row r="12">
      <c r="A12" s="4">
        <v>8.0</v>
      </c>
      <c r="B12" s="4" t="s">
        <v>9</v>
      </c>
      <c r="C12" s="4" t="str">
        <f t="shared" si="1"/>
        <v>2</v>
      </c>
      <c r="D12" s="6" t="str">
        <f t="shared" si="2"/>
        <v>Yes</v>
      </c>
    </row>
    <row r="13">
      <c r="A13" s="4">
        <v>9.0</v>
      </c>
      <c r="B13" s="4" t="s">
        <v>12</v>
      </c>
      <c r="C13" s="4" t="str">
        <f t="shared" si="1"/>
        <v>1</v>
      </c>
      <c r="D13" s="5" t="str">
        <f t="shared" si="2"/>
        <v>No</v>
      </c>
    </row>
    <row r="14">
      <c r="A14" s="4">
        <v>10.0</v>
      </c>
      <c r="B14" s="4" t="s">
        <v>13</v>
      </c>
      <c r="C14" s="4" t="str">
        <f t="shared" si="1"/>
        <v>1</v>
      </c>
      <c r="D14" s="5" t="str">
        <f t="shared" si="2"/>
        <v>No</v>
      </c>
    </row>
    <row r="16">
      <c r="A16" s="2" t="s">
        <v>14</v>
      </c>
    </row>
    <row r="17">
      <c r="A17" s="3" t="s">
        <v>2</v>
      </c>
      <c r="B17" s="3" t="s">
        <v>15</v>
      </c>
    </row>
    <row r="18">
      <c r="A18" s="4">
        <v>1.0</v>
      </c>
      <c r="B18" s="4" t="s">
        <v>6</v>
      </c>
    </row>
    <row r="19">
      <c r="A19" s="4">
        <v>2.0</v>
      </c>
      <c r="B19" s="4" t="s">
        <v>7</v>
      </c>
    </row>
    <row r="20">
      <c r="A20" s="4">
        <v>3.0</v>
      </c>
      <c r="B20" s="4" t="s">
        <v>8</v>
      </c>
    </row>
    <row r="21" ht="15.75" customHeight="1">
      <c r="A21" s="4">
        <v>4.0</v>
      </c>
      <c r="B21" s="4" t="s">
        <v>9</v>
      </c>
    </row>
    <row r="22" ht="15.75" customHeight="1">
      <c r="A22" s="4">
        <v>5.0</v>
      </c>
      <c r="B22" s="4" t="s">
        <v>10</v>
      </c>
    </row>
    <row r="23" ht="15.75" customHeight="1">
      <c r="A23" s="4">
        <v>6.0</v>
      </c>
      <c r="B23" s="4" t="s">
        <v>11</v>
      </c>
    </row>
    <row r="24" ht="15.75" customHeight="1">
      <c r="A24" s="4">
        <v>7.0</v>
      </c>
      <c r="B24" s="4" t="s">
        <v>12</v>
      </c>
    </row>
    <row r="25" ht="15.75" customHeight="1">
      <c r="A25" s="4">
        <v>8.0</v>
      </c>
      <c r="B25" s="4" t="s">
        <v>13</v>
      </c>
    </row>
    <row r="26" ht="15.75" customHeight="1"/>
    <row r="27" ht="15.75" customHeight="1">
      <c r="A27" s="2" t="s">
        <v>16</v>
      </c>
    </row>
    <row r="28" ht="15.75" customHeight="1">
      <c r="A28" s="7" t="s">
        <v>17</v>
      </c>
      <c r="B28" s="2" t="str">
        <f>COUNTA(B5:B14)</f>
        <v>10</v>
      </c>
    </row>
    <row r="29" ht="15.75" customHeight="1">
      <c r="A29" s="7" t="s">
        <v>18</v>
      </c>
      <c r="B29" s="2" t="str">
        <f>"P105, P103"</f>
        <v>P105, P103</v>
      </c>
    </row>
    <row r="30" ht="15.75" customHeight="1">
      <c r="A30" s="7" t="s">
        <v>19</v>
      </c>
      <c r="B30" s="2" t="str">
        <f>COUNTA(B5:B14)-COUNTA(B18:B25)</f>
        <v>2</v>
      </c>
    </row>
    <row r="31" ht="15.75" customHeight="1">
      <c r="A31" s="7" t="s">
        <v>20</v>
      </c>
      <c r="B31" s="2" t="str">
        <f>COUNTA(B18:B25)</f>
        <v>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4">
    <mergeCell ref="A1:D1"/>
    <mergeCell ref="A3:D3"/>
    <mergeCell ref="A16:D16"/>
    <mergeCell ref="A27:D2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22.0"/>
    <col customWidth="1" min="3" max="3" width="18.0"/>
    <col customWidth="1" min="4" max="5" width="16.0"/>
    <col customWidth="1" min="6" max="6" width="24.0"/>
    <col customWidth="1" min="7" max="11" width="8.71"/>
  </cols>
  <sheetData>
    <row r="1">
      <c r="A1" s="1" t="s">
        <v>21</v>
      </c>
    </row>
    <row r="3">
      <c r="A3" s="3" t="s">
        <v>2</v>
      </c>
      <c r="B3" s="3" t="s">
        <v>22</v>
      </c>
      <c r="C3" s="3" t="s">
        <v>23</v>
      </c>
      <c r="D3" s="3" t="s">
        <v>24</v>
      </c>
      <c r="E3" s="3" t="s">
        <v>25</v>
      </c>
      <c r="F3" s="3" t="s">
        <v>26</v>
      </c>
    </row>
    <row r="4">
      <c r="A4" s="4">
        <v>1.0</v>
      </c>
      <c r="B4" s="4">
        <v>20.0</v>
      </c>
      <c r="C4" s="4">
        <v>3.0</v>
      </c>
      <c r="D4" s="4" t="str">
        <f t="shared" ref="D4:D8" si="1">B4-$B$10</f>
        <v>-10</v>
      </c>
      <c r="E4" s="4" t="str">
        <f t="shared" ref="E4:E8" si="2">C4-$C$10</f>
        <v>-2.2</v>
      </c>
      <c r="F4" s="4" t="str">
        <f t="shared" ref="F4:F8" si="3">D4*E4</f>
        <v>22</v>
      </c>
    </row>
    <row r="5">
      <c r="A5" s="4">
        <v>2.0</v>
      </c>
      <c r="B5" s="4">
        <v>25.0</v>
      </c>
      <c r="C5" s="4">
        <v>4.0</v>
      </c>
      <c r="D5" s="4" t="str">
        <f t="shared" si="1"/>
        <v>-5</v>
      </c>
      <c r="E5" s="4" t="str">
        <f t="shared" si="2"/>
        <v>-1.2</v>
      </c>
      <c r="F5" s="4" t="str">
        <f t="shared" si="3"/>
        <v>6</v>
      </c>
    </row>
    <row r="6">
      <c r="A6" s="4">
        <v>3.0</v>
      </c>
      <c r="B6" s="4">
        <v>30.0</v>
      </c>
      <c r="C6" s="4">
        <v>5.0</v>
      </c>
      <c r="D6" s="4" t="str">
        <f t="shared" si="1"/>
        <v>0</v>
      </c>
      <c r="E6" s="4" t="str">
        <f t="shared" si="2"/>
        <v>-0.2</v>
      </c>
      <c r="F6" s="4" t="str">
        <f t="shared" si="3"/>
        <v>0</v>
      </c>
    </row>
    <row r="7">
      <c r="A7" s="4">
        <v>4.0</v>
      </c>
      <c r="B7" s="4">
        <v>35.0</v>
      </c>
      <c r="C7" s="4">
        <v>6.0</v>
      </c>
      <c r="D7" s="4" t="str">
        <f t="shared" si="1"/>
        <v>5</v>
      </c>
      <c r="E7" s="4" t="str">
        <f t="shared" si="2"/>
        <v>0.8</v>
      </c>
      <c r="F7" s="4" t="str">
        <f t="shared" si="3"/>
        <v>4</v>
      </c>
    </row>
    <row r="8">
      <c r="A8" s="4">
        <v>5.0</v>
      </c>
      <c r="B8" s="4">
        <v>40.0</v>
      </c>
      <c r="C8" s="4">
        <v>8.0</v>
      </c>
      <c r="D8" s="4" t="str">
        <f t="shared" si="1"/>
        <v>10</v>
      </c>
      <c r="E8" s="4" t="str">
        <f t="shared" si="2"/>
        <v>2.8</v>
      </c>
      <c r="F8" s="4" t="str">
        <f t="shared" si="3"/>
        <v>28</v>
      </c>
    </row>
    <row r="9">
      <c r="B9" s="2" t="s">
        <v>27</v>
      </c>
      <c r="F9" s="2" t="str">
        <f>SUM(F4:F8)</f>
        <v>60</v>
      </c>
    </row>
    <row r="10">
      <c r="A10" s="2" t="s">
        <v>28</v>
      </c>
      <c r="B10" s="2" t="str">
        <f t="shared" ref="B10:C10" si="4">AVERAGE(B4:B8)</f>
        <v>30</v>
      </c>
      <c r="C10" s="2" t="str">
        <f t="shared" si="4"/>
        <v>5.2</v>
      </c>
    </row>
    <row r="12">
      <c r="A12" s="2" t="s">
        <v>29</v>
      </c>
    </row>
    <row r="13">
      <c r="A13" s="7" t="s">
        <v>30</v>
      </c>
      <c r="F13" s="2" t="str">
        <f>F9/COUNT(B4:B8)</f>
        <v>12</v>
      </c>
    </row>
    <row r="14">
      <c r="A14" s="7" t="s">
        <v>31</v>
      </c>
      <c r="F14" s="2" t="str">
        <f>F9/(COUNT(B4:B8)-1)</f>
        <v>15</v>
      </c>
    </row>
    <row r="16">
      <c r="A16" s="2" t="s">
        <v>32</v>
      </c>
    </row>
    <row r="17" ht="15.0" customHeight="1">
      <c r="A17" s="8"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1:F1"/>
    <mergeCell ref="A17:F2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20.0"/>
    <col customWidth="1" min="3" max="3" width="14.0"/>
    <col customWidth="1" min="4" max="4" width="16.0"/>
    <col customWidth="1" min="5" max="5" width="22.0"/>
    <col customWidth="1" min="6" max="11" width="8.71"/>
  </cols>
  <sheetData>
    <row r="1">
      <c r="A1" s="1" t="s">
        <v>34</v>
      </c>
    </row>
    <row r="3">
      <c r="A3" s="3" t="s">
        <v>2</v>
      </c>
      <c r="B3" s="3" t="s">
        <v>35</v>
      </c>
      <c r="C3" s="3" t="s">
        <v>36</v>
      </c>
      <c r="D3" s="3" t="s">
        <v>37</v>
      </c>
      <c r="E3" s="3" t="s">
        <v>38</v>
      </c>
    </row>
    <row r="4">
      <c r="A4" s="4">
        <v>1.0</v>
      </c>
      <c r="B4" s="4">
        <v>8.0</v>
      </c>
      <c r="C4" s="4" t="str">
        <f t="shared" ref="C4:C14" si="1">B4-$B$16</f>
        <v>-5.545454545</v>
      </c>
      <c r="D4" s="4" t="str">
        <f t="shared" ref="D4:D14" si="2">C4^2</f>
        <v>30.75206612</v>
      </c>
      <c r="E4" s="4" t="str">
        <f t="shared" ref="E4:E14" si="3">C4/$B$17</f>
        <v>-0.7837277069</v>
      </c>
    </row>
    <row r="5">
      <c r="A5" s="4">
        <v>2.0</v>
      </c>
      <c r="B5" s="4">
        <v>9.0</v>
      </c>
      <c r="C5" s="4" t="str">
        <f t="shared" si="1"/>
        <v>-4.545454545</v>
      </c>
      <c r="D5" s="4" t="str">
        <f t="shared" si="2"/>
        <v>20.66115702</v>
      </c>
      <c r="E5" s="4" t="str">
        <f t="shared" si="3"/>
        <v>-0.6423997597</v>
      </c>
    </row>
    <row r="6">
      <c r="A6" s="4">
        <v>3.0</v>
      </c>
      <c r="B6" s="4">
        <v>10.0</v>
      </c>
      <c r="C6" s="4" t="str">
        <f t="shared" si="1"/>
        <v>-3.545454545</v>
      </c>
      <c r="D6" s="4" t="str">
        <f t="shared" si="2"/>
        <v>12.57024793</v>
      </c>
      <c r="E6" s="4" t="str">
        <f t="shared" si="3"/>
        <v>-0.5010718126</v>
      </c>
    </row>
    <row r="7">
      <c r="A7" s="4">
        <v>4.0</v>
      </c>
      <c r="B7" s="4">
        <v>10.0</v>
      </c>
      <c r="C7" s="4" t="str">
        <f t="shared" si="1"/>
        <v>-3.545454545</v>
      </c>
      <c r="D7" s="4" t="str">
        <f t="shared" si="2"/>
        <v>12.57024793</v>
      </c>
      <c r="E7" s="4" t="str">
        <f t="shared" si="3"/>
        <v>-0.5010718126</v>
      </c>
    </row>
    <row r="8">
      <c r="A8" s="4">
        <v>5.0</v>
      </c>
      <c r="B8" s="4">
        <v>11.0</v>
      </c>
      <c r="C8" s="4" t="str">
        <f t="shared" si="1"/>
        <v>-2.545454545</v>
      </c>
      <c r="D8" s="4" t="str">
        <f t="shared" si="2"/>
        <v>6.479338843</v>
      </c>
      <c r="E8" s="4" t="str">
        <f t="shared" si="3"/>
        <v>-0.3597438655</v>
      </c>
    </row>
    <row r="9">
      <c r="A9" s="4">
        <v>6.0</v>
      </c>
      <c r="B9" s="4">
        <v>12.0</v>
      </c>
      <c r="C9" s="4" t="str">
        <f t="shared" si="1"/>
        <v>-1.545454545</v>
      </c>
      <c r="D9" s="4" t="str">
        <f t="shared" si="2"/>
        <v>2.388429752</v>
      </c>
      <c r="E9" s="4" t="str">
        <f t="shared" si="3"/>
        <v>-0.2184159183</v>
      </c>
    </row>
    <row r="10">
      <c r="A10" s="4">
        <v>7.0</v>
      </c>
      <c r="B10" s="4">
        <v>12.0</v>
      </c>
      <c r="C10" s="4" t="str">
        <f t="shared" si="1"/>
        <v>-1.545454545</v>
      </c>
      <c r="D10" s="4" t="str">
        <f t="shared" si="2"/>
        <v>2.388429752</v>
      </c>
      <c r="E10" s="4" t="str">
        <f t="shared" si="3"/>
        <v>-0.2184159183</v>
      </c>
    </row>
    <row r="11">
      <c r="A11" s="4">
        <v>8.0</v>
      </c>
      <c r="B11" s="4">
        <v>13.0</v>
      </c>
      <c r="C11" s="4" t="str">
        <f t="shared" si="1"/>
        <v>-0.5454545455</v>
      </c>
      <c r="D11" s="4" t="str">
        <f t="shared" si="2"/>
        <v>0.2975206612</v>
      </c>
      <c r="E11" s="4" t="str">
        <f t="shared" si="3"/>
        <v>-0.07708797117</v>
      </c>
    </row>
    <row r="12">
      <c r="A12" s="4">
        <v>9.0</v>
      </c>
      <c r="B12" s="4">
        <v>14.0</v>
      </c>
      <c r="C12" s="4" t="str">
        <f t="shared" si="1"/>
        <v>0.4545454545</v>
      </c>
      <c r="D12" s="4" t="str">
        <f t="shared" si="2"/>
        <v>0.2066115702</v>
      </c>
      <c r="E12" s="4" t="str">
        <f t="shared" si="3"/>
        <v>0.06423997597</v>
      </c>
    </row>
    <row r="13">
      <c r="A13" s="4">
        <v>10.0</v>
      </c>
      <c r="B13" s="4">
        <v>15.0</v>
      </c>
      <c r="C13" s="4" t="str">
        <f t="shared" si="1"/>
        <v>1.454545455</v>
      </c>
      <c r="D13" s="4" t="str">
        <f t="shared" si="2"/>
        <v>2.115702479</v>
      </c>
      <c r="E13" s="4" t="str">
        <f t="shared" si="3"/>
        <v>0.2055679231</v>
      </c>
    </row>
    <row r="14">
      <c r="A14" s="9">
        <v>11.0</v>
      </c>
      <c r="B14" s="9">
        <v>35.0</v>
      </c>
      <c r="C14" s="9" t="str">
        <f t="shared" si="1"/>
        <v>21.45454545</v>
      </c>
      <c r="D14" s="9" t="str">
        <f t="shared" si="2"/>
        <v>460.2975207</v>
      </c>
      <c r="E14" s="9" t="str">
        <f t="shared" si="3"/>
        <v>3.032126866</v>
      </c>
    </row>
    <row r="15">
      <c r="B15" s="2" t="s">
        <v>39</v>
      </c>
      <c r="D15" s="2" t="str">
        <f>SUM(D4:D14)</f>
        <v>550.7272727</v>
      </c>
    </row>
    <row r="16">
      <c r="A16" s="2" t="s">
        <v>40</v>
      </c>
      <c r="B16" s="2" t="str">
        <f>AVERAGE(B4:B14)</f>
        <v>13.54545455</v>
      </c>
    </row>
    <row r="17">
      <c r="A17" s="2" t="s">
        <v>41</v>
      </c>
      <c r="B17" s="2" t="str">
        <f>STDEVP(B4:B14)</f>
        <v>7.075741354</v>
      </c>
    </row>
    <row r="19">
      <c r="A19" s="2" t="s">
        <v>42</v>
      </c>
    </row>
    <row r="20">
      <c r="A20" s="3" t="s">
        <v>43</v>
      </c>
      <c r="B20" s="3" t="s">
        <v>44</v>
      </c>
      <c r="C20" s="3" t="s">
        <v>45</v>
      </c>
    </row>
    <row r="21" ht="15.75" customHeight="1">
      <c r="A21" s="4">
        <v>35.0</v>
      </c>
      <c r="B21" s="4" t="str">
        <f>E14</f>
        <v>3.032126866</v>
      </c>
      <c r="C21" s="9" t="str">
        <f>IF(ABS(E14)&gt;3,"Yes - Outlier","No")</f>
        <v>Yes - Outlier</v>
      </c>
    </row>
    <row r="22" ht="15.75" customHeight="1"/>
    <row r="23" ht="15.75" customHeight="1">
      <c r="A23" s="7" t="s">
        <v>46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A1:E1"/>
    <mergeCell ref="A19:E19"/>
    <mergeCell ref="A23:E2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6.0"/>
    <col customWidth="1" min="3" max="3" width="14.0"/>
    <col customWidth="1" min="4" max="5" width="22.0"/>
    <col customWidth="1" min="6" max="6" width="18.0"/>
    <col customWidth="1" min="7" max="11" width="8.71"/>
  </cols>
  <sheetData>
    <row r="1">
      <c r="A1" s="1" t="s">
        <v>47</v>
      </c>
    </row>
    <row r="3">
      <c r="A3" s="2" t="s">
        <v>48</v>
      </c>
    </row>
    <row r="4">
      <c r="A4" s="7" t="s">
        <v>49</v>
      </c>
      <c r="B4" s="2">
        <v>75.0</v>
      </c>
    </row>
    <row r="5">
      <c r="A5" s="7" t="s">
        <v>50</v>
      </c>
      <c r="B5" s="2">
        <v>145.0</v>
      </c>
    </row>
    <row r="6">
      <c r="A6" s="7" t="s">
        <v>51</v>
      </c>
      <c r="B6" s="2" t="str">
        <f>B5-B4</f>
        <v>70</v>
      </c>
    </row>
    <row r="7">
      <c r="A7" s="7" t="s">
        <v>52</v>
      </c>
      <c r="B7" s="2">
        <v>3.0</v>
      </c>
    </row>
    <row r="8">
      <c r="A8" s="7" t="s">
        <v>53</v>
      </c>
      <c r="B8" s="2" t="str">
        <f>B6/B7</f>
        <v>23.33333333</v>
      </c>
    </row>
    <row r="10">
      <c r="A10" s="2" t="s">
        <v>54</v>
      </c>
    </row>
    <row r="11">
      <c r="A11" s="3" t="s">
        <v>55</v>
      </c>
      <c r="B11" s="3" t="s">
        <v>56</v>
      </c>
      <c r="C11" s="3" t="s">
        <v>57</v>
      </c>
    </row>
    <row r="12">
      <c r="A12" s="4" t="s">
        <v>58</v>
      </c>
      <c r="B12" s="4" t="str">
        <f>$B$4</f>
        <v>75</v>
      </c>
      <c r="C12" s="4" t="str">
        <f>$B$4+$B$8</f>
        <v>98.33333333</v>
      </c>
    </row>
    <row r="13">
      <c r="A13" s="4" t="s">
        <v>59</v>
      </c>
      <c r="B13" s="4" t="str">
        <f t="shared" ref="B13:B14" si="1">C12</f>
        <v>98.33333333</v>
      </c>
      <c r="C13" s="4" t="str">
        <f t="shared" ref="C13:C14" si="2">C12+$B$8</f>
        <v>121.6666667</v>
      </c>
    </row>
    <row r="14">
      <c r="A14" s="4" t="s">
        <v>60</v>
      </c>
      <c r="B14" s="4" t="str">
        <f t="shared" si="1"/>
        <v>121.6666667</v>
      </c>
      <c r="C14" s="4" t="str">
        <f t="shared" si="2"/>
        <v>145</v>
      </c>
    </row>
    <row r="16">
      <c r="A16" s="2" t="s">
        <v>61</v>
      </c>
    </row>
    <row r="17">
      <c r="A17" s="3" t="s">
        <v>2</v>
      </c>
      <c r="B17" s="3" t="s">
        <v>62</v>
      </c>
      <c r="C17" s="3" t="s">
        <v>63</v>
      </c>
      <c r="D17" s="3" t="s">
        <v>64</v>
      </c>
      <c r="E17" s="3" t="s">
        <v>65</v>
      </c>
      <c r="F17" s="3" t="s">
        <v>66</v>
      </c>
    </row>
    <row r="18">
      <c r="A18" s="4">
        <v>1.0</v>
      </c>
      <c r="B18" s="4">
        <v>75.0</v>
      </c>
      <c r="C18" s="4" t="str">
        <f t="shared" ref="C18:C29" si="3">IF(B18&lt;=$C$12,"Bin 1",IF(B18&lt;=$C$13,"Bin 2","Bin 3"))</f>
        <v>Bin 1</v>
      </c>
      <c r="D18" s="4" t="str">
        <f t="shared" ref="D18:D29" si="4">ABS(B18-IF(C18="Bin 1",$B$12,IF(C18="Bin 2",$B$13,$B$14)))</f>
        <v>0</v>
      </c>
      <c r="E18" s="4" t="str">
        <f t="shared" ref="E18:E29" si="5">ABS(B18-IF(C18="Bin 1",$C$12,IF(C18="Bin 2",$C$13,$C$14)))</f>
        <v>23.33333333</v>
      </c>
      <c r="F18" s="4" t="str">
        <f t="shared" ref="F18:F29" si="6">IF(D18&lt;=E18,IF(C18="Bin 1",$B$12,IF(C18="Bin 2",$B$13,$B$14)),IF(C18="Bin 1",$C$12,IF(C18="Bin 2",$C$13,$C$14)))</f>
        <v>75</v>
      </c>
    </row>
    <row r="19">
      <c r="A19" s="4">
        <v>2.0</v>
      </c>
      <c r="B19" s="4">
        <v>82.0</v>
      </c>
      <c r="C19" s="4" t="str">
        <f t="shared" si="3"/>
        <v>Bin 1</v>
      </c>
      <c r="D19" s="4" t="str">
        <f t="shared" si="4"/>
        <v>7</v>
      </c>
      <c r="E19" s="4" t="str">
        <f t="shared" si="5"/>
        <v>16.33333333</v>
      </c>
      <c r="F19" s="4" t="str">
        <f t="shared" si="6"/>
        <v>75</v>
      </c>
    </row>
    <row r="20">
      <c r="A20" s="4">
        <v>3.0</v>
      </c>
      <c r="B20" s="4">
        <v>88.0</v>
      </c>
      <c r="C20" s="4" t="str">
        <f t="shared" si="3"/>
        <v>Bin 1</v>
      </c>
      <c r="D20" s="4" t="str">
        <f t="shared" si="4"/>
        <v>13</v>
      </c>
      <c r="E20" s="4" t="str">
        <f t="shared" si="5"/>
        <v>10.33333333</v>
      </c>
      <c r="F20" s="4" t="str">
        <f t="shared" si="6"/>
        <v>98.33333333</v>
      </c>
    </row>
    <row r="21" ht="15.75" customHeight="1">
      <c r="A21" s="4">
        <v>4.0</v>
      </c>
      <c r="B21" s="4">
        <v>92.0</v>
      </c>
      <c r="C21" s="4" t="str">
        <f t="shared" si="3"/>
        <v>Bin 1</v>
      </c>
      <c r="D21" s="4" t="str">
        <f t="shared" si="4"/>
        <v>17</v>
      </c>
      <c r="E21" s="4" t="str">
        <f t="shared" si="5"/>
        <v>6.333333333</v>
      </c>
      <c r="F21" s="4" t="str">
        <f t="shared" si="6"/>
        <v>98.33333333</v>
      </c>
    </row>
    <row r="22" ht="15.75" customHeight="1">
      <c r="A22" s="4">
        <v>5.0</v>
      </c>
      <c r="B22" s="4">
        <v>95.0</v>
      </c>
      <c r="C22" s="4" t="str">
        <f t="shared" si="3"/>
        <v>Bin 1</v>
      </c>
      <c r="D22" s="4" t="str">
        <f t="shared" si="4"/>
        <v>20</v>
      </c>
      <c r="E22" s="4" t="str">
        <f t="shared" si="5"/>
        <v>3.333333333</v>
      </c>
      <c r="F22" s="4" t="str">
        <f t="shared" si="6"/>
        <v>98.33333333</v>
      </c>
    </row>
    <row r="23" ht="15.75" customHeight="1">
      <c r="A23" s="4">
        <v>6.0</v>
      </c>
      <c r="B23" s="4">
        <v>99.0</v>
      </c>
      <c r="C23" s="4" t="str">
        <f t="shared" si="3"/>
        <v>Bin 2</v>
      </c>
      <c r="D23" s="4" t="str">
        <f t="shared" si="4"/>
        <v>0.6666666667</v>
      </c>
      <c r="E23" s="4" t="str">
        <f t="shared" si="5"/>
        <v>22.66666667</v>
      </c>
      <c r="F23" s="4" t="str">
        <f t="shared" si="6"/>
        <v>98.33333333</v>
      </c>
    </row>
    <row r="24" ht="15.75" customHeight="1">
      <c r="A24" s="4">
        <v>7.0</v>
      </c>
      <c r="B24" s="4">
        <v>104.0</v>
      </c>
      <c r="C24" s="4" t="str">
        <f t="shared" si="3"/>
        <v>Bin 2</v>
      </c>
      <c r="D24" s="4" t="str">
        <f t="shared" si="4"/>
        <v>5.666666667</v>
      </c>
      <c r="E24" s="4" t="str">
        <f t="shared" si="5"/>
        <v>17.66666667</v>
      </c>
      <c r="F24" s="4" t="str">
        <f t="shared" si="6"/>
        <v>98.33333333</v>
      </c>
    </row>
    <row r="25" ht="15.75" customHeight="1">
      <c r="A25" s="4">
        <v>8.0</v>
      </c>
      <c r="B25" s="4">
        <v>110.0</v>
      </c>
      <c r="C25" s="4" t="str">
        <f t="shared" si="3"/>
        <v>Bin 2</v>
      </c>
      <c r="D25" s="4" t="str">
        <f t="shared" si="4"/>
        <v>11.66666667</v>
      </c>
      <c r="E25" s="4" t="str">
        <f t="shared" si="5"/>
        <v>11.66666667</v>
      </c>
      <c r="F25" s="4" t="str">
        <f t="shared" si="6"/>
        <v>98.33333333</v>
      </c>
    </row>
    <row r="26" ht="15.75" customHeight="1">
      <c r="A26" s="4">
        <v>9.0</v>
      </c>
      <c r="B26" s="4">
        <v>118.0</v>
      </c>
      <c r="C26" s="4" t="str">
        <f t="shared" si="3"/>
        <v>Bin 2</v>
      </c>
      <c r="D26" s="4" t="str">
        <f t="shared" si="4"/>
        <v>19.66666667</v>
      </c>
      <c r="E26" s="4" t="str">
        <f t="shared" si="5"/>
        <v>3.666666667</v>
      </c>
      <c r="F26" s="4" t="str">
        <f t="shared" si="6"/>
        <v>121.6666667</v>
      </c>
    </row>
    <row r="27" ht="15.75" customHeight="1">
      <c r="A27" s="4">
        <v>10.0</v>
      </c>
      <c r="B27" s="4">
        <v>122.0</v>
      </c>
      <c r="C27" s="4" t="str">
        <f t="shared" si="3"/>
        <v>Bin 3</v>
      </c>
      <c r="D27" s="4" t="str">
        <f t="shared" si="4"/>
        <v>0.3333333333</v>
      </c>
      <c r="E27" s="4" t="str">
        <f t="shared" si="5"/>
        <v>23</v>
      </c>
      <c r="F27" s="4" t="str">
        <f t="shared" si="6"/>
        <v>121.6666667</v>
      </c>
    </row>
    <row r="28" ht="15.75" customHeight="1">
      <c r="A28" s="4">
        <v>11.0</v>
      </c>
      <c r="B28" s="4">
        <v>130.0</v>
      </c>
      <c r="C28" s="4" t="str">
        <f t="shared" si="3"/>
        <v>Bin 3</v>
      </c>
      <c r="D28" s="4" t="str">
        <f t="shared" si="4"/>
        <v>8.333333333</v>
      </c>
      <c r="E28" s="4" t="str">
        <f t="shared" si="5"/>
        <v>15</v>
      </c>
      <c r="F28" s="4" t="str">
        <f t="shared" si="6"/>
        <v>121.6666667</v>
      </c>
    </row>
    <row r="29" ht="15.75" customHeight="1">
      <c r="A29" s="4">
        <v>12.0</v>
      </c>
      <c r="B29" s="4">
        <v>145.0</v>
      </c>
      <c r="C29" s="4" t="str">
        <f t="shared" si="3"/>
        <v>Bin 3</v>
      </c>
      <c r="D29" s="4" t="str">
        <f t="shared" si="4"/>
        <v>23.33333333</v>
      </c>
      <c r="E29" s="4" t="str">
        <f t="shared" si="5"/>
        <v>0</v>
      </c>
      <c r="F29" s="4" t="str">
        <f t="shared" si="6"/>
        <v>145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1:E1"/>
    <mergeCell ref="A16:E16"/>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20.0"/>
    <col customWidth="1" min="3" max="3" width="14.0"/>
    <col customWidth="1" min="4" max="4" width="16.0"/>
    <col customWidth="1" min="5" max="5" width="20.0"/>
    <col customWidth="1" min="6" max="11" width="8.71"/>
  </cols>
  <sheetData>
    <row r="1">
      <c r="A1" s="1" t="s">
        <v>67</v>
      </c>
    </row>
    <row r="3">
      <c r="A3" s="3" t="s">
        <v>2</v>
      </c>
      <c r="B3" s="3" t="s">
        <v>68</v>
      </c>
      <c r="C3" s="3" t="s">
        <v>36</v>
      </c>
      <c r="D3" s="3" t="s">
        <v>37</v>
      </c>
      <c r="E3" s="3" t="s">
        <v>38</v>
      </c>
    </row>
    <row r="4">
      <c r="A4" s="4">
        <v>1.0</v>
      </c>
      <c r="B4" s="4">
        <v>12.0</v>
      </c>
      <c r="C4" s="4" t="str">
        <f t="shared" ref="C4:C13" si="1">B4-$B$15</f>
        <v>-12.5</v>
      </c>
      <c r="D4" s="4" t="str">
        <f t="shared" ref="D4:D13" si="2">C4^2</f>
        <v>156.25</v>
      </c>
      <c r="E4" s="4" t="str">
        <f t="shared" ref="E4:E13" si="3">C4/$B$16</f>
        <v>-1.485046613</v>
      </c>
    </row>
    <row r="5">
      <c r="A5" s="4">
        <v>2.0</v>
      </c>
      <c r="B5" s="4">
        <v>15.0</v>
      </c>
      <c r="C5" s="4" t="str">
        <f t="shared" si="1"/>
        <v>-9.5</v>
      </c>
      <c r="D5" s="4" t="str">
        <f t="shared" si="2"/>
        <v>90.25</v>
      </c>
      <c r="E5" s="4" t="str">
        <f t="shared" si="3"/>
        <v>-1.128635426</v>
      </c>
    </row>
    <row r="6">
      <c r="A6" s="4">
        <v>3.0</v>
      </c>
      <c r="B6" s="4">
        <v>18.0</v>
      </c>
      <c r="C6" s="4" t="str">
        <f t="shared" si="1"/>
        <v>-6.5</v>
      </c>
      <c r="D6" s="4" t="str">
        <f t="shared" si="2"/>
        <v>42.25</v>
      </c>
      <c r="E6" s="4" t="str">
        <f t="shared" si="3"/>
        <v>-0.772224239</v>
      </c>
    </row>
    <row r="7">
      <c r="A7" s="4">
        <v>4.0</v>
      </c>
      <c r="B7" s="4">
        <v>20.0</v>
      </c>
      <c r="C7" s="4" t="str">
        <f t="shared" si="1"/>
        <v>-4.5</v>
      </c>
      <c r="D7" s="4" t="str">
        <f t="shared" si="2"/>
        <v>20.25</v>
      </c>
      <c r="E7" s="4" t="str">
        <f t="shared" si="3"/>
        <v>-0.5346167808</v>
      </c>
    </row>
    <row r="8">
      <c r="A8" s="4">
        <v>5.0</v>
      </c>
      <c r="B8" s="4">
        <v>22.0</v>
      </c>
      <c r="C8" s="4" t="str">
        <f t="shared" si="1"/>
        <v>-2.5</v>
      </c>
      <c r="D8" s="4" t="str">
        <f t="shared" si="2"/>
        <v>6.25</v>
      </c>
      <c r="E8" s="4" t="str">
        <f t="shared" si="3"/>
        <v>-0.2970093227</v>
      </c>
    </row>
    <row r="9">
      <c r="A9" s="4">
        <v>6.0</v>
      </c>
      <c r="B9" s="4">
        <v>25.0</v>
      </c>
      <c r="C9" s="4" t="str">
        <f t="shared" si="1"/>
        <v>0.5</v>
      </c>
      <c r="D9" s="4" t="str">
        <f t="shared" si="2"/>
        <v>0.25</v>
      </c>
      <c r="E9" s="4" t="str">
        <f t="shared" si="3"/>
        <v>0.05940186453</v>
      </c>
    </row>
    <row r="10">
      <c r="A10" s="4">
        <v>7.0</v>
      </c>
      <c r="B10" s="4">
        <v>28.0</v>
      </c>
      <c r="C10" s="4" t="str">
        <f t="shared" si="1"/>
        <v>3.5</v>
      </c>
      <c r="D10" s="4" t="str">
        <f t="shared" si="2"/>
        <v>12.25</v>
      </c>
      <c r="E10" s="4" t="str">
        <f t="shared" si="3"/>
        <v>0.4158130517</v>
      </c>
    </row>
    <row r="11">
      <c r="A11" s="4">
        <v>8.0</v>
      </c>
      <c r="B11" s="4">
        <v>30.0</v>
      </c>
      <c r="C11" s="4" t="str">
        <f t="shared" si="1"/>
        <v>5.5</v>
      </c>
      <c r="D11" s="4" t="str">
        <f t="shared" si="2"/>
        <v>30.25</v>
      </c>
      <c r="E11" s="4" t="str">
        <f t="shared" si="3"/>
        <v>0.6534205099</v>
      </c>
    </row>
    <row r="12">
      <c r="A12" s="4">
        <v>9.0</v>
      </c>
      <c r="B12" s="4">
        <v>35.0</v>
      </c>
      <c r="C12" s="4" t="str">
        <f t="shared" si="1"/>
        <v>10.5</v>
      </c>
      <c r="D12" s="4" t="str">
        <f t="shared" si="2"/>
        <v>110.25</v>
      </c>
      <c r="E12" s="4" t="str">
        <f t="shared" si="3"/>
        <v>1.247439155</v>
      </c>
    </row>
    <row r="13">
      <c r="A13" s="4">
        <v>10.0</v>
      </c>
      <c r="B13" s="4">
        <v>40.0</v>
      </c>
      <c r="C13" s="4" t="str">
        <f t="shared" si="1"/>
        <v>15.5</v>
      </c>
      <c r="D13" s="4" t="str">
        <f t="shared" si="2"/>
        <v>240.25</v>
      </c>
      <c r="E13" s="4" t="str">
        <f t="shared" si="3"/>
        <v>1.841457801</v>
      </c>
    </row>
    <row r="14">
      <c r="B14" s="2" t="s">
        <v>39</v>
      </c>
      <c r="D14" s="2" t="str">
        <f>SUM(D4:D13)</f>
        <v>708.5</v>
      </c>
    </row>
    <row r="15">
      <c r="A15" s="2" t="s">
        <v>40</v>
      </c>
      <c r="B15" s="2" t="str">
        <f>AVERAGE(B4:B13)</f>
        <v>24.5</v>
      </c>
    </row>
    <row r="16">
      <c r="A16" s="2" t="s">
        <v>41</v>
      </c>
      <c r="B16" s="2" t="str">
        <f>STDEVP(B4:B13)</f>
        <v>8.417244205</v>
      </c>
    </row>
    <row r="18">
      <c r="A18" s="2" t="s">
        <v>69</v>
      </c>
    </row>
    <row r="19">
      <c r="A19" s="7" t="s">
        <v>70</v>
      </c>
      <c r="B19" s="2" t="str">
        <f>B15+B16</f>
        <v>32.9172442</v>
      </c>
    </row>
    <row r="21" ht="15.75" customHeight="1">
      <c r="A21" s="3" t="s">
        <v>2</v>
      </c>
      <c r="B21" s="3" t="s">
        <v>71</v>
      </c>
      <c r="C21" s="3" t="s">
        <v>44</v>
      </c>
      <c r="D21" s="3" t="s">
        <v>72</v>
      </c>
    </row>
    <row r="22" ht="15.75" customHeight="1">
      <c r="A22" s="4">
        <v>1.0</v>
      </c>
      <c r="B22" s="4" t="str">
        <f t="shared" ref="B22:B31" si="4">B4</f>
        <v>12</v>
      </c>
      <c r="C22" s="4" t="str">
        <f t="shared" ref="C22:C31" si="5">E4</f>
        <v>-1.485046613</v>
      </c>
      <c r="D22" s="4" t="str">
        <f t="shared" ref="D22:D31" si="6">IF(E4&gt;1,"Yes","No")</f>
        <v>No</v>
      </c>
    </row>
    <row r="23" ht="15.75" customHeight="1">
      <c r="A23" s="4">
        <v>2.0</v>
      </c>
      <c r="B23" s="4" t="str">
        <f t="shared" si="4"/>
        <v>15</v>
      </c>
      <c r="C23" s="4" t="str">
        <f t="shared" si="5"/>
        <v>-1.128635426</v>
      </c>
      <c r="D23" s="4" t="str">
        <f t="shared" si="6"/>
        <v>No</v>
      </c>
    </row>
    <row r="24" ht="15.75" customHeight="1">
      <c r="A24" s="4">
        <v>3.0</v>
      </c>
      <c r="B24" s="4" t="str">
        <f t="shared" si="4"/>
        <v>18</v>
      </c>
      <c r="C24" s="4" t="str">
        <f t="shared" si="5"/>
        <v>-0.772224239</v>
      </c>
      <c r="D24" s="4" t="str">
        <f t="shared" si="6"/>
        <v>No</v>
      </c>
    </row>
    <row r="25" ht="15.75" customHeight="1">
      <c r="A25" s="4">
        <v>4.0</v>
      </c>
      <c r="B25" s="4" t="str">
        <f t="shared" si="4"/>
        <v>20</v>
      </c>
      <c r="C25" s="4" t="str">
        <f t="shared" si="5"/>
        <v>-0.5346167808</v>
      </c>
      <c r="D25" s="4" t="str">
        <f t="shared" si="6"/>
        <v>No</v>
      </c>
    </row>
    <row r="26" ht="15.75" customHeight="1">
      <c r="A26" s="4">
        <v>5.0</v>
      </c>
      <c r="B26" s="4" t="str">
        <f t="shared" si="4"/>
        <v>22</v>
      </c>
      <c r="C26" s="4" t="str">
        <f t="shared" si="5"/>
        <v>-0.2970093227</v>
      </c>
      <c r="D26" s="4" t="str">
        <f t="shared" si="6"/>
        <v>No</v>
      </c>
    </row>
    <row r="27" ht="15.75" customHeight="1">
      <c r="A27" s="4">
        <v>6.0</v>
      </c>
      <c r="B27" s="4" t="str">
        <f t="shared" si="4"/>
        <v>25</v>
      </c>
      <c r="C27" s="4" t="str">
        <f t="shared" si="5"/>
        <v>0.05940186453</v>
      </c>
      <c r="D27" s="4" t="str">
        <f t="shared" si="6"/>
        <v>No</v>
      </c>
    </row>
    <row r="28" ht="15.75" customHeight="1">
      <c r="A28" s="4">
        <v>7.0</v>
      </c>
      <c r="B28" s="4" t="str">
        <f t="shared" si="4"/>
        <v>28</v>
      </c>
      <c r="C28" s="4" t="str">
        <f t="shared" si="5"/>
        <v>0.4158130517</v>
      </c>
      <c r="D28" s="4" t="str">
        <f t="shared" si="6"/>
        <v>No</v>
      </c>
    </row>
    <row r="29" ht="15.75" customHeight="1">
      <c r="A29" s="4">
        <v>8.0</v>
      </c>
      <c r="B29" s="4" t="str">
        <f t="shared" si="4"/>
        <v>30</v>
      </c>
      <c r="C29" s="4" t="str">
        <f t="shared" si="5"/>
        <v>0.6534205099</v>
      </c>
      <c r="D29" s="4" t="str">
        <f t="shared" si="6"/>
        <v>No</v>
      </c>
    </row>
    <row r="30" ht="15.75" customHeight="1">
      <c r="A30" s="10">
        <v>9.0</v>
      </c>
      <c r="B30" s="10" t="str">
        <f t="shared" si="4"/>
        <v>35</v>
      </c>
      <c r="C30" s="10" t="str">
        <f t="shared" si="5"/>
        <v>1.247439155</v>
      </c>
      <c r="D30" s="10" t="str">
        <f t="shared" si="6"/>
        <v>Yes</v>
      </c>
    </row>
    <row r="31" ht="15.75" customHeight="1">
      <c r="A31" s="10">
        <v>10.0</v>
      </c>
      <c r="B31" s="10" t="str">
        <f t="shared" si="4"/>
        <v>40</v>
      </c>
      <c r="C31" s="10" t="str">
        <f t="shared" si="5"/>
        <v>1.841457801</v>
      </c>
      <c r="D31" s="10" t="str">
        <f t="shared" si="6"/>
        <v>Yes</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1:E1"/>
    <mergeCell ref="A18:E18"/>
  </mergeCells>
  <printOptions/>
  <pageMargins bottom="1.0" footer="0.0" header="0.0" left="0.75" right="0.75" top="1.0"/>
  <pageSetup paperSize="9" orientation="portrait"/>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2026-07-29T05:14:50Z</dcterms:created>
  <dc:creator>openpyxl</dc:creator>
  <dc:description/>
  <dc:language>en-US</dc:language>
  <cp:lastModifiedBy/>
  <dcterms:modified xsi:type="dcterms:W3CDTF">2026-07-29T05:14:50Z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